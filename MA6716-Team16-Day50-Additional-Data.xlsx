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35cef5f8b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" sheetId="1" r:id="R5337e4618aa24e50"/>
    <x:sheet xmlns:r="http://schemas.openxmlformats.org/officeDocument/2006/relationships" name="Configuration" sheetId="2" r:id="R33530722e578412a"/>
    <x:sheet xmlns:r="http://schemas.openxmlformats.org/officeDocument/2006/relationships" name="Inventory history" sheetId="3" r:id="R10af04aa2264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"/>
    <x:numFmt numFmtId="201" formatCode="#,##0"/>
    <x:numFmt numFmtId="202" formatCode="0"/>
    <x:numFmt numFmtId="203" formatCode="0.000"/>
  </x:numFmts>
  <x:fonts count="4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4574d9c80469b" /><Relationship Type="http://schemas.openxmlformats.org/officeDocument/2006/relationships/theme" Target="/xl/theme/theme1.xml" Id="R2c34382b21804fd2" /><Relationship Type="http://schemas.openxmlformats.org/officeDocument/2006/relationships/sharedStrings" Target="/xl/sharedStrings.xml" Id="R864c0c87ba70420f" /><Relationship Type="http://schemas.openxmlformats.org/officeDocument/2006/relationships/worksheet" Target="/xl/worksheets/sheet1.xml" Id="R5337e4618aa24e50" /><Relationship Type="http://schemas.openxmlformats.org/officeDocument/2006/relationships/worksheet" Target="/xl/worksheets/sheet2.xml" Id="R33530722e578412a" /><Relationship Type="http://schemas.openxmlformats.org/officeDocument/2006/relationships/worksheet" Target="/xl/worksheets/sheet3.xml" Id="R10af04aa226449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56" hidden="0" customWidth="1"/>
  </x:cols>
  <x:sheetData>
    <x:row r="2">
      <x:c r="A2" s="1" t="str">
        <x:v>Cash sources and uses</x:v>
      </x:c>
    </x:row>
    <x:row r="3">
      <x:c r="A3" t="str">
        <x:v>Team 16 | Suspended Day 50 | Captured 2026-10-07 14:54:28 UTC+08:00</x:v>
      </x:c>
    </x:row>
    <x:row r="4">
      <x:c r="A4" t="str">
        <x:v>Source: https://opy.responsive.net/lf/dashboard</x:v>
      </x:c>
    </x:row>
    <x:row r="6" ht="28" customHeight="1">
      <x:c r="A6" s="4" t="str">
        <x:v>Item</x:v>
      </x:c>
      <x:c r="B6" s="4" t="str">
        <x:v>Amount (USD)</x:v>
      </x:c>
      <x:c r="C6" s="4" t="str">
        <x:v>Panel / calculation</x:v>
      </x:c>
      <x:c r="D6" s="4" t="str">
        <x:v>Meaning</x:v>
      </x:c>
    </x:row>
    <x:row r="7" ht="25" customHeight="1">
      <x:c r="A7" s="6" t="str">
        <x:v>Starting Cash</x:v>
      </x:c>
      <x:c r="B7" s="7" t="n">
        <x:v>1000000</x:v>
      </x:c>
      <x:c r="C7" s="6" t="str">
        <x:v>Sources and Uses of Cash</x:v>
      </x:c>
      <x:c r="D7" s="6" t="str">
        <x:v>Opening funding shown by the system</x:v>
      </x:c>
    </x:row>
    <x:row r="8" ht="25" customHeight="1">
      <x:c r="A8" s="6" t="str">
        <x:v>Interest</x:v>
      </x:c>
      <x:c r="B8" s="7" t="n">
        <x:v>13621</x:v>
      </x:c>
      <x:c r="C8" s="6" t="str">
        <x:v>Sources and Uses of Cash</x:v>
      </x:c>
      <x:c r="D8" s="6" t="str">
        <x:v>Cumulative interest shown at Day 50</x:v>
      </x:c>
    </x:row>
    <x:row r="9" ht="25" customHeight="1">
      <x:c r="A9" s="6" t="str">
        <x:v>Revenue</x:v>
      </x:c>
      <x:c r="B9" s="7" t="n">
        <x:v>123000</x:v>
      </x:c>
      <x:c r="C9" s="6" t="str">
        <x:v>Sources and Uses of Cash</x:v>
      </x:c>
      <x:c r="D9" s="6" t="str">
        <x:v>Cumulative completed-order revenue</x:v>
      </x:c>
    </x:row>
    <x:row r="10" ht="25" customHeight="1">
      <x:c r="A10" s="6" t="str">
        <x:v>Materials Purchases</x:v>
      </x:c>
      <x:c r="B10" s="7" t="n">
        <x:v>73000</x:v>
      </x:c>
      <x:c r="C10" s="6" t="str">
        <x:v>Sources and Uses of Cash</x:v>
      </x:c>
      <x:c r="D10" s="6" t="str">
        <x:v>Cash use; stored as a positive source amount</x:v>
      </x:c>
    </x:row>
    <x:row r="11" ht="25" customHeight="1">
      <x:c r="A11" s="6" t="str">
        <x:v>Calculated cash</x:v>
      </x:c>
      <x:c r="B11" s="7" t="n">
        <x:f>SUM(B7:B9)-B10</x:f>
        <x:v>1063621</x:v>
      </x:c>
      <x:c r="C11" s="6" t="str">
        <x:v>Starting + Interest + Revenue - Materials</x:v>
      </x:c>
      <x:c r="D11" s="6" t="str">
        <x:v>Computed from the four displayed components</x:v>
      </x:c>
    </x:row>
    <x:row r="12" ht="25" customHeight="1">
      <x:c r="A12" s="6" t="str">
        <x:v>Displayed cash balance</x:v>
      </x:c>
      <x:c r="B12" s="7" t="n">
        <x:v>1063621</x:v>
      </x:c>
      <x:c r="C12" s="6" t="str">
        <x:v>Sources and Uses of Cash</x:v>
      </x:c>
      <x:c r="D12" s="6" t="str">
        <x:v>Original webpage value</x:v>
      </x:c>
    </x:row>
    <x:row r="13" ht="25" customHeight="1">
      <x:c r="A13" s="6" t="str">
        <x:v>Reconciliation difference</x:v>
      </x:c>
      <x:c r="B13" s="7" t="n">
        <x:f>B11-B12</x:f>
        <x:v>0</x:v>
      </x:c>
      <x:c r="C13" s="6" t="str">
        <x:v>Calculated cash - displayed cash</x:v>
      </x:c>
      <x:c r="D13" s="6" t="str">
        <x:v>Terminal check; zero means exact agreement</x:v>
      </x:c>
    </x:row>
    <x:row r="14" ht="25" customHeight="1">
      <x:c r="A14" s="6" t="str">
        <x:v>Prior daily-export cash</x:v>
      </x:c>
      <x:c r="B14" s="7" t="n">
        <x:v>1063622</x:v>
      </x:c>
      <x:c r="C14" s="6" t="str">
        <x:v>Original Excel: Plots Data!T54 * 1000</x:v>
      </x:c>
      <x:c r="D14" s="6" t="str">
        <x:v>Prior export differs by $1; cause unverified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6" hidden="0" customWidth="1"/>
    <x:col min="4" max="4" width="27" hidden="0" customWidth="1"/>
    <x:col min="5" max="5" width="66" hidden="0" customWidth="1"/>
  </x:cols>
  <x:sheetData>
    <x:row r="2">
      <x:c r="A2" s="1" t="str">
        <x:v>Additional configuration and availability</x:v>
      </x:c>
    </x:row>
    <x:row r="3">
      <x:c r="A3" t="str">
        <x:v>Team 16 | Suspended Day 50 | Captured 2026-10-07 14:54:28 UTC+08:00</x:v>
      </x:c>
    </x:row>
    <x:row r="4">
      <x:c r="A4" t="str">
        <x:v>Source: https://opy.responsive.net/lf/dashboard</x:v>
      </x:c>
    </x:row>
    <x:row r="6" ht="28" customHeight="1">
      <x:c r="A6" s="4" t="str">
        <x:v>Parameter</x:v>
      </x:c>
      <x:c r="B6" s="4" t="str">
        <x:v>Value</x:v>
      </x:c>
      <x:c r="C6" s="4" t="str">
        <x:v>Unit</x:v>
      </x:c>
      <x:c r="D6" s="4" t="str">
        <x:v>Source panel</x:v>
      </x:c>
      <x:c r="E6" s="4" t="str">
        <x:v>Definition / limitation</x:v>
      </x:c>
    </x:row>
    <x:row r="7" ht="25" customHeight="1">
      <x:c r="A7" s="6" t="str">
        <x:v>Current simulation day</x:v>
      </x:c>
      <x:c r="B7" s="8" t="n">
        <x:v>50</x:v>
      </x:c>
      <x:c r="C7" s="6" t="str">
        <x:v>day</x:v>
      </x:c>
      <x:c r="D7" s="6" t="str">
        <x:v>Dashboard</x:v>
      </x:c>
      <x:c r="E7" s="6" t="str">
        <x:v>Suspended; no parameters were changed</x:v>
      </x:c>
    </x:row>
    <x:row r="8" ht="25" customHeight="1">
      <x:c r="A8" s="6" t="str">
        <x:v>Displayed control-end marker</x:v>
      </x:c>
      <x:c r="B8" s="8" t="n">
        <x:v>218</x:v>
      </x:c>
      <x:c r="C8" s="6" t="str">
        <x:v>day</x:v>
      </x:c>
      <x:c r="D8" s="6" t="str">
        <x:v>Dashboard</x:v>
      </x:c>
      <x:c r="E8" s="6" t="str">
        <x:v>UI marker; full assignment document not retrieved</x:v>
      </x:c>
    </x:row>
    <x:row r="9" ht="25" customHeight="1">
      <x:c r="A9" s="6" t="str">
        <x:v>Displayed completion day</x:v>
      </x:c>
      <x:c r="B9" s="8" t="n">
        <x:v>268</x:v>
      </x:c>
      <x:c r="C9" s="6" t="str">
        <x:v>day</x:v>
      </x:c>
      <x:c r="D9" s="6" t="str">
        <x:v>Dashboard</x:v>
      </x:c>
      <x:c r="E9" s="6" t="str">
        <x:v>UI marker; full assignment document not retrieved</x:v>
      </x:c>
    </x:row>
    <x:row r="10" ht="25" customHeight="1">
      <x:c r="A10" s="6" t="str">
        <x:v>Inventory level</x:v>
      </x:c>
      <x:c r="B10" s="8" t="n">
        <x:v>9360</x:v>
      </x:c>
      <x:c r="C10" s="6" t="str">
        <x:v>kits</x:v>
      </x:c>
      <x:c r="D10" s="6" t="str">
        <x:v>Material</x:v>
      </x:c>
      <x:c r="E10" s="6" t="str">
        <x:v>Point-in-time stock; not an average</x:v>
      </x:c>
    </x:row>
    <x:row r="11" ht="25" customHeight="1">
      <x:c r="A11" s="6" t="str">
        <x:v>Reorder point</x:v>
      </x:c>
      <x:c r="B11" s="8" t="n">
        <x:v>4200</x:v>
      </x:c>
      <x:c r="C11" s="6" t="str">
        <x:v>kits</x:v>
      </x:c>
      <x:c r="D11" s="6" t="str">
        <x:v>Material</x:v>
      </x:c>
      <x:c r="E11" s="6" t="str">
        <x:v>70 batches of 60 kits</x:v>
      </x:c>
    </x:row>
    <x:row r="12" ht="25" customHeight="1">
      <x:c r="A12" s="6" t="str">
        <x:v>Order quantity</x:v>
      </x:c>
      <x:c r="B12" s="8" t="n">
        <x:v>7200</x:v>
      </x:c>
      <x:c r="C12" s="6" t="str">
        <x:v>kits</x:v>
      </x:c>
      <x:c r="D12" s="6" t="str">
        <x:v>Material</x:v>
      </x:c>
      <x:c r="E12" s="6" t="str">
        <x:v>120 batches of 60 kits</x:v>
      </x:c>
    </x:row>
    <x:row r="13" ht="25" customHeight="1">
      <x:c r="A13" s="6" t="str">
        <x:v>Supplier cost per order</x:v>
      </x:c>
      <x:c r="B13" s="8" t="n">
        <x:v>1000</x:v>
      </x:c>
      <x:c r="C13" s="6" t="str">
        <x:v>USD/order</x:v>
      </x:c>
      <x:c r="D13" s="6" t="str">
        <x:v>Material</x:v>
      </x:c>
      <x:c r="E13" s="6" t="str">
        <x:v>Supplier terms displayed at Day 50</x:v>
      </x:c>
    </x:row>
    <x:row r="14" ht="25" customHeight="1">
      <x:c r="A14" s="6" t="str">
        <x:v>Supplier cost per kit</x:v>
      </x:c>
      <x:c r="B14" s="8" t="n">
        <x:v>10</x:v>
      </x:c>
      <x:c r="C14" s="6" t="str">
        <x:v>USD/kit</x:v>
      </x:c>
      <x:c r="D14" s="6" t="str">
        <x:v>Material</x:v>
      </x:c>
      <x:c r="E14" s="6" t="str">
        <x:v>Supplier terms displayed at Day 50</x:v>
      </x:c>
    </x:row>
    <x:row r="15" ht="25" customHeight="1">
      <x:c r="A15" s="6" t="str">
        <x:v>Supplier lead time</x:v>
      </x:c>
      <x:c r="B15" s="8" t="n">
        <x:v>4</x:v>
      </x:c>
      <x:c r="C15" s="6" t="str">
        <x:v>days</x:v>
      </x:c>
      <x:c r="D15" s="6" t="str">
        <x:v>Material</x:v>
      </x:c>
      <x:c r="E15" s="6" t="str">
        <x:v>Supplier terms displayed at Day 50</x:v>
      </x:c>
    </x:row>
    <x:row r="16" ht="25" customHeight="1">
      <x:c r="A16" s="6" t="str">
        <x:v>Maximum WIP limit</x:v>
      </x:c>
      <x:c r="B16" s="8" t="n">
        <x:v>100</x:v>
      </x:c>
      <x:c r="C16" s="6" t="str">
        <x:v>jobs</x:v>
      </x:c>
      <x:c r="D16" s="6" t="str">
        <x:v>Customer Orders</x:v>
      </x:c>
      <x:c r="E16" s="6" t="str">
        <x:v>Current configured limit</x:v>
      </x:c>
    </x:row>
    <x:row r="17" ht="25" customHeight="1">
      <x:c r="A17" s="6" t="str">
        <x:v>Lot size</x:v>
      </x:c>
      <x:c r="B17" s="8" t="n">
        <x:v>60</x:v>
      </x:c>
      <x:c r="C17" s="6" t="str">
        <x:v>kits/lot</x:v>
      </x:c>
      <x:c r="D17" s="6" t="str">
        <x:v>Customer Orders</x:v>
      </x:c>
      <x:c r="E17" s="6" t="str">
        <x:v>Current configuration; 1 lot per job</x:v>
      </x:c>
    </x:row>
    <x:row r="18" ht="25" customHeight="1">
      <x:c r="A18" s="6" t="str">
        <x:v>Lots per job</x:v>
      </x:c>
      <x:c r="B18" s="8" t="n">
        <x:v>1</x:v>
      </x:c>
      <x:c r="C18" s="6" t="str">
        <x:v>lot/job</x:v>
      </x:c>
      <x:c r="D18" s="6" t="str">
        <x:v>Customer Orders</x:v>
      </x:c>
      <x:c r="E18" s="6" t="str">
        <x:v>All lots must finish for an order to finish</x:v>
      </x:c>
    </x:row>
    <x:row r="19" ht="25" customHeight="1">
      <x:c r="A19" s="6" t="str">
        <x:v>Current quoted lead time</x:v>
      </x:c>
      <x:c r="B19" s="8" t="n">
        <x:v>1</x:v>
      </x:c>
      <x:c r="C19" s="6" t="str">
        <x:v>day</x:v>
      </x:c>
      <x:c r="D19" s="6" t="str">
        <x:v>Customer Orders</x:v>
      </x:c>
      <x:c r="E19" s="6" t="str">
        <x:v>Current contract terms</x:v>
      </x:c>
    </x:row>
    <x:row r="20" ht="25" customHeight="1">
      <x:c r="A20" s="6" t="str">
        <x:v>Current maximum lead time</x:v>
      </x:c>
      <x:c r="B20" s="8" t="n">
        <x:v>3</x:v>
      </x:c>
      <x:c r="C20" s="6" t="str">
        <x:v>days</x:v>
      </x:c>
      <x:c r="D20" s="6" t="str">
        <x:v>Customer Orders</x:v>
      </x:c>
      <x:c r="E20" s="6" t="str">
        <x:v>Current contract terms</x:v>
      </x:c>
    </x:row>
    <x:row r="21" ht="25" customHeight="1">
      <x:c r="A21" s="6" t="str">
        <x:v>Current maximum revenue</x:v>
      </x:c>
      <x:c r="B21" s="8" t="n">
        <x:v>1000</x:v>
      </x:c>
      <x:c r="C21" s="6" t="str">
        <x:v>USD/order</x:v>
      </x:c>
      <x:c r="D21" s="6" t="str">
        <x:v>Customer Orders</x:v>
      </x:c>
      <x:c r="E21" s="6" t="str">
        <x:v>Displayed Revenue per order</x:v>
      </x:c>
    </x:row>
    <x:row r="22" ht="25" customHeight="1">
      <x:c r="A22" s="6" t="str">
        <x:v>Station 1 machine count</x:v>
      </x:c>
      <x:c r="B22" s="8" t="n">
        <x:v>1</x:v>
      </x:c>
      <x:c r="C22" s="6" t="str">
        <x:v>machines</x:v>
      </x:c>
      <x:c r="D22" s="6" t="str">
        <x:v>Station 1</x:v>
      </x:c>
      <x:c r="E22" s="6" t="str">
        <x:v>Board Stuffing</x:v>
      </x:c>
    </x:row>
    <x:row r="23" ht="25" customHeight="1">
      <x:c r="A23" s="6" t="str">
        <x:v>Station 1 purchase price</x:v>
      </x:c>
      <x:c r="B23" s="8" t="n">
        <x:v>90000</x:v>
      </x:c>
      <x:c r="C23" s="6" t="str">
        <x:v>USD/machine</x:v>
      </x:c>
      <x:c r="D23" s="6" t="str">
        <x:v>Station 1</x:v>
      </x:c>
      <x:c r="E23" s="6" t="str">
        <x:v>Current purchase price; no purchase made</x:v>
      </x:c>
    </x:row>
    <x:row r="24" ht="25" customHeight="1">
      <x:c r="A24" s="6" t="str">
        <x:v>Station 1 retirement price</x:v>
      </x:c>
      <x:c r="B24" s="8" t="n">
        <x:v>10000</x:v>
      </x:c>
      <x:c r="C24" s="6" t="str">
        <x:v>USD/machine</x:v>
      </x:c>
      <x:c r="D24" s="6" t="str">
        <x:v>Station 1</x:v>
      </x:c>
      <x:c r="E24" s="6" t="str">
        <x:v>Displayed retirement value</x:v>
      </x:c>
    </x:row>
    <x:row r="25" ht="25" customHeight="1">
      <x:c r="A25" s="6" t="str">
        <x:v>Station 2 machine count</x:v>
      </x:c>
      <x:c r="B25" s="8" t="n">
        <x:v>1</x:v>
      </x:c>
      <x:c r="C25" s="6" t="str">
        <x:v>machines</x:v>
      </x:c>
      <x:c r="D25" s="6" t="str">
        <x:v>Station 2</x:v>
      </x:c>
      <x:c r="E25" s="6" t="str">
        <x:v>Testing; route visits at Step 2 and Step 4</x:v>
      </x:c>
    </x:row>
    <x:row r="26" ht="25" customHeight="1">
      <x:c r="A26" s="6" t="str">
        <x:v>Station 2 purchase price</x:v>
      </x:c>
      <x:c r="B26" s="8" t="n">
        <x:v>80000</x:v>
      </x:c>
      <x:c r="C26" s="6" t="str">
        <x:v>USD/machine</x:v>
      </x:c>
      <x:c r="D26" s="6" t="str">
        <x:v>Station 2</x:v>
      </x:c>
      <x:c r="E26" s="6" t="str">
        <x:v>Current purchase price; no purchase made</x:v>
      </x:c>
    </x:row>
    <x:row r="27" ht="25" customHeight="1">
      <x:c r="A27" s="6" t="str">
        <x:v>Station 2 retirement price</x:v>
      </x:c>
      <x:c r="B27" s="8" t="n">
        <x:v>10000</x:v>
      </x:c>
      <x:c r="C27" s="6" t="str">
        <x:v>USD/machine</x:v>
      </x:c>
      <x:c r="D27" s="6" t="str">
        <x:v>Station 2</x:v>
      </x:c>
      <x:c r="E27" s="6" t="str">
        <x:v>Displayed retirement value</x:v>
      </x:c>
    </x:row>
    <x:row r="28" ht="25" customHeight="1">
      <x:c r="A28" s="6" t="str">
        <x:v>Station 2 scheduling</x:v>
      </x:c>
      <x:c r="B28" s="8" t="str">
        <x:v>FIFO</x:v>
      </x:c>
      <x:c r="C28" s="6" t="str">
        <x:v>policy</x:v>
      </x:c>
      <x:c r="D28" s="6" t="str">
        <x:v>Station 2</x:v>
      </x:c>
      <x:c r="E28" s="6" t="str">
        <x:v>Current policy; not changed</x:v>
      </x:c>
    </x:row>
    <x:row r="29" ht="25" customHeight="1">
      <x:c r="A29" s="6" t="str">
        <x:v>Station 3 machine count</x:v>
      </x:c>
      <x:c r="B29" s="8" t="n">
        <x:v>1</x:v>
      </x:c>
      <x:c r="C29" s="6" t="str">
        <x:v>machines</x:v>
      </x:c>
      <x:c r="D29" s="6" t="str">
        <x:v>Station 3</x:v>
      </x:c>
      <x:c r="E29" s="6" t="str">
        <x:v>Tuning</x:v>
      </x:c>
    </x:row>
    <x:row r="30" ht="25" customHeight="1">
      <x:c r="A30" s="6" t="str">
        <x:v>Station 3 purchase price</x:v>
      </x:c>
      <x:c r="B30" s="8" t="n">
        <x:v>100000</x:v>
      </x:c>
      <x:c r="C30" s="6" t="str">
        <x:v>USD/machine</x:v>
      </x:c>
      <x:c r="D30" s="6" t="str">
        <x:v>Station 3</x:v>
      </x:c>
      <x:c r="E30" s="6" t="str">
        <x:v>Current purchase price; no purchase made</x:v>
      </x:c>
    </x:row>
    <x:row r="31" ht="25" customHeight="1">
      <x:c r="A31" s="6" t="str">
        <x:v>Station 3 retirement price</x:v>
      </x:c>
      <x:c r="B31" s="8" t="n">
        <x:v>10000</x:v>
      </x:c>
      <x:c r="C31" s="6" t="str">
        <x:v>USD/machine</x:v>
      </x:c>
      <x:c r="D31" s="6" t="str">
        <x:v>Station 3</x:v>
      </x:c>
      <x:c r="E31" s="6" t="str">
        <x:v>Displayed retirement value</x:v>
      </x:c>
    </x:row>
    <x:row r="32" ht="25" customHeight="1">
      <x:c r="A32" s="6" t="str">
        <x:v>Visible transaction records</x:v>
      </x:c>
      <x:c r="B32" s="8" t="n">
        <x:v>0</x:v>
      </x:c>
      <x:c r="C32" s="6" t="str">
        <x:v>records</x:v>
      </x:c>
      <x:c r="D32" s="6" t="str">
        <x:v>Transaction History</x:v>
      </x:c>
      <x:c r="E32" s="6" t="str">
        <x:v>No Data found; Showing 0 to 0 entries</x:v>
      </x:c>
    </x:row>
    <x:row r="33" ht="25" customHeight="1">
      <x:c r="A33" s="6" t="str">
        <x:v>Assignment Details</x:v>
      </x:c>
      <x:c r="B33" s="8" t="str">
        <x:v>Not retrieved</x:v>
      </x:c>
      <x:c r="C33" s="6" t="str">
        <x:v>status</x:v>
      </x:c>
      <x:c r="D33" s="6" t="str">
        <x:v>Dashboard menu</x:v>
      </x:c>
      <x:c r="E33" s="6" t="str">
        <x:v>Clicks produced no readable document in this browser</x:v>
      </x:c>
    </x:row>
    <x:row r="34" ht="25" customHeight="1">
      <x:c r="A34" s="6" t="str">
        <x:v>Getting Started</x:v>
      </x:c>
      <x:c r="B34" s="8" t="str">
        <x:v>Not retrieved</x:v>
      </x:c>
      <x:c r="C34" s="6" t="str">
        <x:v>status</x:v>
      </x:c>
      <x:c r="D34" s="6" t="str">
        <x:v>Dashboard menu</x:v>
      </x:c>
      <x:c r="E34" s="6" t="str">
        <x:v>Click produced no readable document in this browser</x:v>
      </x:c>
    </x:row>
    <x:row r="35" ht="25" customHeight="1">
      <x:c r="A35" s="6" t="str">
        <x:v>Per-job / operation records</x:v>
      </x:c>
      <x:c r="B35" s="8" t="str">
        <x:v>Not obtained</x:v>
      </x:c>
      <x:c r="C35" s="6" t="str">
        <x:v>status</x:v>
      </x:c>
      <x:c r="D35" s="6" t="str">
        <x:v>Inspected panels</x:v>
      </x:c>
      <x:c r="E35" s="6" t="str">
        <x:v>No per-job timeline found in inspected panels</x:v>
      </x:c>
    </x:row>
    <x:row r="36" ht="25" customHeight="1">
      <x:c r="A36" s="6" t="str">
        <x:v>Setup / processing time</x:v>
      </x:c>
      <x:c r="B36" s="8" t="str">
        <x:v>Not identified</x:v>
      </x:c>
      <x:c r="C36" s="6" t="str">
        <x:v>status</x:v>
      </x:c>
      <x:c r="D36" s="6" t="str">
        <x:v>Inspected panels</x:v>
      </x:c>
      <x:c r="E36" s="6" t="str">
        <x:v>Do not treat load estimates as exact processing times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22" hidden="0" customWidth="1"/>
    <x:col min="5" max="5" width="74" hidden="0" customWidth="1"/>
  </x:cols>
  <x:sheetData>
    <x:row r="2">
      <x:c r="A2" s="1" t="str">
        <x:v>Inventory history: 52 source points</x:v>
      </x:c>
    </x:row>
    <x:row r="3">
      <x:c r="A3" t="str">
        <x:v>Team 16 | Suspended Day 50 | Captured 2026-10-07 14:54:28 UTC+08:00</x:v>
      </x:c>
    </x:row>
    <x:row r="4">
      <x:c r="A4" t="str">
        <x:v>Source: https://opy.responsive.net/lf/dashboard</x:v>
      </x:c>
    </x:row>
    <x:row r="6" ht="28" customHeight="1">
      <x:c r="A6" s="4" t="str">
        <x:v>Sequence</x:v>
      </x:c>
      <x:c r="B6" s="4" t="str">
        <x:v>Simulation day</x:v>
      </x:c>
      <x:c r="C6" s="4" t="str">
        <x:v>Inventory (kits)</x:v>
      </x:c>
      <x:c r="D6" s="4" t="str">
        <x:v>Change (kits)</x:v>
      </x:c>
      <x:c r="E6" s="4" t="str">
        <x:v>Interpretation</x:v>
      </x:c>
    </x:row>
    <x:row r="7" ht="25" customHeight="1">
      <x:c r="A7" s="9" t="n">
        <x:v>1</x:v>
      </x:c>
      <x:c r="B7" s="10" t="n">
        <x:v>1</x:v>
      </x:c>
      <x:c r="C7" s="8" t="n">
        <x:v>9480</x:v>
      </x:c>
      <x:c r="D7" s="8"/>
      <x:c r="E7" s="6" t="str">
        <x:v>Point-in-time stock; keep source sequence</x:v>
      </x:c>
    </x:row>
    <x:row r="8" ht="25" customHeight="1">
      <x:c r="A8" s="9" t="n">
        <x:v>2</x:v>
      </x:c>
      <x:c r="B8" s="10" t="n">
        <x:v>2</x:v>
      </x:c>
      <x:c r="C8" s="8" t="n">
        <x:v>9360</x:v>
      </x:c>
      <x:c r="D8" s="8" t="n">
        <x:f>C8-C7</x:f>
        <x:v>-120</x:v>
      </x:c>
      <x:c r="E8" s="6" t="str">
        <x:v>Point-in-time stock; keep source sequence</x:v>
      </x:c>
    </x:row>
    <x:row r="9" ht="25" customHeight="1">
      <x:c r="A9" s="9" t="n">
        <x:v>3</x:v>
      </x:c>
      <x:c r="B9" s="10" t="n">
        <x:v>3</x:v>
      </x:c>
      <x:c r="C9" s="8" t="n">
        <x:v>9300</x:v>
      </x:c>
      <x:c r="D9" s="8" t="n">
        <x:f>C9-C8</x:f>
        <x:v>-60</x:v>
      </x:c>
      <x:c r="E9" s="6" t="str">
        <x:v>Point-in-time stock; keep source sequence</x:v>
      </x:c>
    </x:row>
    <x:row r="10" ht="25" customHeight="1">
      <x:c r="A10" s="9" t="n">
        <x:v>4</x:v>
      </x:c>
      <x:c r="B10" s="10" t="n">
        <x:v>4</x:v>
      </x:c>
      <x:c r="C10" s="8" t="n">
        <x:v>9300</x:v>
      </x:c>
      <x:c r="D10" s="8" t="n">
        <x:f>C10-C9</x:f>
        <x:v>0</x:v>
      </x:c>
      <x:c r="E10" s="6" t="str">
        <x:v>Point-in-time stock; keep source sequence</x:v>
      </x:c>
    </x:row>
    <x:row r="11" ht="25" customHeight="1">
      <x:c r="A11" s="9" t="n">
        <x:v>5</x:v>
      </x:c>
      <x:c r="B11" s="10" t="n">
        <x:v>5</x:v>
      </x:c>
      <x:c r="C11" s="8" t="n">
        <x:v>9180</x:v>
      </x:c>
      <x:c r="D11" s="8" t="n">
        <x:f>C11-C10</x:f>
        <x:v>-120</x:v>
      </x:c>
      <x:c r="E11" s="6" t="str">
        <x:v>Point-in-time stock; keep source sequence</x:v>
      </x:c>
    </x:row>
    <x:row r="12" ht="25" customHeight="1">
      <x:c r="A12" s="9" t="n">
        <x:v>6</x:v>
      </x:c>
      <x:c r="B12" s="10" t="n">
        <x:v>6</x:v>
      </x:c>
      <x:c r="C12" s="8" t="n">
        <x:v>9120</x:v>
      </x:c>
      <x:c r="D12" s="8" t="n">
        <x:f>C12-C11</x:f>
        <x:v>-60</x:v>
      </x:c>
      <x:c r="E12" s="6" t="str">
        <x:v>Point-in-time stock; keep source sequence</x:v>
      </x:c>
    </x:row>
    <x:row r="13" ht="25" customHeight="1">
      <x:c r="A13" s="9" t="n">
        <x:v>7</x:v>
      </x:c>
      <x:c r="B13" s="10" t="n">
        <x:v>7</x:v>
      </x:c>
      <x:c r="C13" s="8" t="n">
        <x:v>9120</x:v>
      </x:c>
      <x:c r="D13" s="8" t="n">
        <x:f>C13-C12</x:f>
        <x:v>0</x:v>
      </x:c>
      <x:c r="E13" s="6" t="str">
        <x:v>Point-in-time stock; keep source sequence</x:v>
      </x:c>
    </x:row>
    <x:row r="14" ht="25" customHeight="1">
      <x:c r="A14" s="9" t="n">
        <x:v>8</x:v>
      </x:c>
      <x:c r="B14" s="10" t="n">
        <x:v>8</x:v>
      </x:c>
      <x:c r="C14" s="8" t="n">
        <x:v>9120</x:v>
      </x:c>
      <x:c r="D14" s="8" t="n">
        <x:f>C14-C13</x:f>
        <x:v>0</x:v>
      </x:c>
      <x:c r="E14" s="6" t="str">
        <x:v>Point-in-time stock; keep source sequence</x:v>
      </x:c>
    </x:row>
    <x:row r="15" ht="25" customHeight="1">
      <x:c r="A15" s="9" t="n">
        <x:v>9</x:v>
      </x:c>
      <x:c r="B15" s="10" t="n">
        <x:v>9</x:v>
      </x:c>
      <x:c r="C15" s="8" t="n">
        <x:v>8940</x:v>
      </x:c>
      <x:c r="D15" s="8" t="n">
        <x:f>C15-C14</x:f>
        <x:v>-180</x:v>
      </x:c>
      <x:c r="E15" s="6" t="str">
        <x:v>Point-in-time stock; keep source sequence</x:v>
      </x:c>
    </x:row>
    <x:row r="16" ht="25" customHeight="1">
      <x:c r="A16" s="9" t="n">
        <x:v>10</x:v>
      </x:c>
      <x:c r="B16" s="10" t="n">
        <x:v>10</x:v>
      </x:c>
      <x:c r="C16" s="8" t="n">
        <x:v>8700</x:v>
      </x:c>
      <x:c r="D16" s="8" t="n">
        <x:f>C16-C15</x:f>
        <x:v>-240</x:v>
      </x:c>
      <x:c r="E16" s="6" t="str">
        <x:v>Point-in-time stock; keep source sequence</x:v>
      </x:c>
    </x:row>
    <x:row r="17" ht="25" customHeight="1">
      <x:c r="A17" s="9" t="n">
        <x:v>11</x:v>
      </x:c>
      <x:c r="B17" s="10" t="n">
        <x:v>11</x:v>
      </x:c>
      <x:c r="C17" s="8" t="n">
        <x:v>8700</x:v>
      </x:c>
      <x:c r="D17" s="8" t="n">
        <x:f>C17-C16</x:f>
        <x:v>0</x:v>
      </x:c>
      <x:c r="E17" s="6" t="str">
        <x:v>Point-in-time stock; keep source sequence</x:v>
      </x:c>
    </x:row>
    <x:row r="18" ht="25" customHeight="1">
      <x:c r="A18" s="9" t="n">
        <x:v>12</x:v>
      </x:c>
      <x:c r="B18" s="10" t="n">
        <x:v>12</x:v>
      </x:c>
      <x:c r="C18" s="8" t="n">
        <x:v>8640</x:v>
      </x:c>
      <x:c r="D18" s="8" t="n">
        <x:f>C18-C17</x:f>
        <x:v>-60</x:v>
      </x:c>
      <x:c r="E18" s="6" t="str">
        <x:v>Point-in-time stock; keep source sequence</x:v>
      </x:c>
    </x:row>
    <x:row r="19" ht="25" customHeight="1">
      <x:c r="A19" s="9" t="n">
        <x:v>13</x:v>
      </x:c>
      <x:c r="B19" s="10" t="n">
        <x:v>13</x:v>
      </x:c>
      <x:c r="C19" s="8" t="n">
        <x:v>8460</x:v>
      </x:c>
      <x:c r="D19" s="8" t="n">
        <x:f>C19-C18</x:f>
        <x:v>-180</x:v>
      </x:c>
      <x:c r="E19" s="6" t="str">
        <x:v>Point-in-time stock; keep source sequence</x:v>
      </x:c>
    </x:row>
    <x:row r="20" ht="25" customHeight="1">
      <x:c r="A20" s="9" t="n">
        <x:v>14</x:v>
      </x:c>
      <x:c r="B20" s="10" t="n">
        <x:v>14</x:v>
      </x:c>
      <x:c r="C20" s="8" t="n">
        <x:v>8280</x:v>
      </x:c>
      <x:c r="D20" s="8" t="n">
        <x:f>C20-C19</x:f>
        <x:v>-180</x:v>
      </x:c>
      <x:c r="E20" s="6" t="str">
        <x:v>Point-in-time stock; keep source sequence</x:v>
      </x:c>
    </x:row>
    <x:row r="21" ht="25" customHeight="1">
      <x:c r="A21" s="9" t="n">
        <x:v>15</x:v>
      </x:c>
      <x:c r="B21" s="10" t="n">
        <x:v>15</x:v>
      </x:c>
      <x:c r="C21" s="8" t="n">
        <x:v>8160</x:v>
      </x:c>
      <x:c r="D21" s="8" t="n">
        <x:f>C21-C20</x:f>
        <x:v>-120</x:v>
      </x:c>
      <x:c r="E21" s="6" t="str">
        <x:v>Point-in-time stock; keep source sequence</x:v>
      </x:c>
    </x:row>
    <x:row r="22" ht="25" customHeight="1">
      <x:c r="A22" s="9" t="n">
        <x:v>16</x:v>
      </x:c>
      <x:c r="B22" s="10" t="n">
        <x:v>16</x:v>
      </x:c>
      <x:c r="C22" s="8" t="n">
        <x:v>8100</x:v>
      </x:c>
      <x:c r="D22" s="8" t="n">
        <x:f>C22-C21</x:f>
        <x:v>-60</x:v>
      </x:c>
      <x:c r="E22" s="6" t="str">
        <x:v>Point-in-time stock; keep source sequence</x:v>
      </x:c>
    </x:row>
    <x:row r="23" ht="25" customHeight="1">
      <x:c r="A23" s="9" t="n">
        <x:v>17</x:v>
      </x:c>
      <x:c r="B23" s="10" t="n">
        <x:v>17</x:v>
      </x:c>
      <x:c r="C23" s="8" t="n">
        <x:v>7740</x:v>
      </x:c>
      <x:c r="D23" s="8" t="n">
        <x:f>C23-C22</x:f>
        <x:v>-360</x:v>
      </x:c>
      <x:c r="E23" s="6" t="str">
        <x:v>Point-in-time stock; keep source sequence</x:v>
      </x:c>
    </x:row>
    <x:row r="24" ht="25" customHeight="1">
      <x:c r="A24" s="9" t="n">
        <x:v>18</x:v>
      </x:c>
      <x:c r="B24" s="10" t="n">
        <x:v>18</x:v>
      </x:c>
      <x:c r="C24" s="8" t="n">
        <x:v>7680</x:v>
      </x:c>
      <x:c r="D24" s="8" t="n">
        <x:f>C24-C23</x:f>
        <x:v>-60</x:v>
      </x:c>
      <x:c r="E24" s="6" t="str">
        <x:v>Point-in-time stock; keep source sequence</x:v>
      </x:c>
    </x:row>
    <x:row r="25" ht="25" customHeight="1">
      <x:c r="A25" s="9" t="n">
        <x:v>19</x:v>
      </x:c>
      <x:c r="B25" s="10" t="n">
        <x:v>19</x:v>
      </x:c>
      <x:c r="C25" s="8" t="n">
        <x:v>7560</x:v>
      </x:c>
      <x:c r="D25" s="8" t="n">
        <x:f>C25-C24</x:f>
        <x:v>-120</x:v>
      </x:c>
      <x:c r="E25" s="6" t="str">
        <x:v>Point-in-time stock; keep source sequence</x:v>
      </x:c>
    </x:row>
    <x:row r="26" ht="25" customHeight="1">
      <x:c r="A26" s="9" t="n">
        <x:v>20</x:v>
      </x:c>
      <x:c r="B26" s="10" t="n">
        <x:v>20</x:v>
      </x:c>
      <x:c r="C26" s="8" t="n">
        <x:v>7500</x:v>
      </x:c>
      <x:c r="D26" s="8" t="n">
        <x:f>C26-C25</x:f>
        <x:v>-60</x:v>
      </x:c>
      <x:c r="E26" s="6" t="str">
        <x:v>Point-in-time stock; keep source sequence</x:v>
      </x:c>
    </x:row>
    <x:row r="27" ht="25" customHeight="1">
      <x:c r="A27" s="9" t="n">
        <x:v>21</x:v>
      </x:c>
      <x:c r="B27" s="10" t="n">
        <x:v>21</x:v>
      </x:c>
      <x:c r="C27" s="8" t="n">
        <x:v>7380</x:v>
      </x:c>
      <x:c r="D27" s="8" t="n">
        <x:f>C27-C26</x:f>
        <x:v>-120</x:v>
      </x:c>
      <x:c r="E27" s="6" t="str">
        <x:v>Point-in-time stock; keep source sequence</x:v>
      </x:c>
    </x:row>
    <x:row r="28" ht="25" customHeight="1">
      <x:c r="A28" s="9" t="n">
        <x:v>22</x:v>
      </x:c>
      <x:c r="B28" s="10" t="n">
        <x:v>22</x:v>
      </x:c>
      <x:c r="C28" s="8" t="n">
        <x:v>7200</x:v>
      </x:c>
      <x:c r="D28" s="8" t="n">
        <x:f>C28-C27</x:f>
        <x:v>-180</x:v>
      </x:c>
      <x:c r="E28" s="6" t="str">
        <x:v>Point-in-time stock; keep source sequence</x:v>
      </x:c>
    </x:row>
    <x:row r="29" ht="25" customHeight="1">
      <x:c r="A29" s="9" t="n">
        <x:v>23</x:v>
      </x:c>
      <x:c r="B29" s="10" t="n">
        <x:v>23</x:v>
      </x:c>
      <x:c r="C29" s="8" t="n">
        <x:v>7080</x:v>
      </x:c>
      <x:c r="D29" s="8" t="n">
        <x:f>C29-C28</x:f>
        <x:v>-120</x:v>
      </x:c>
      <x:c r="E29" s="6" t="str">
        <x:v>Point-in-time stock; keep source sequence</x:v>
      </x:c>
    </x:row>
    <x:row r="30" ht="25" customHeight="1">
      <x:c r="A30" s="9" t="n">
        <x:v>24</x:v>
      </x:c>
      <x:c r="B30" s="10" t="n">
        <x:v>24</x:v>
      </x:c>
      <x:c r="C30" s="8" t="n">
        <x:v>6840</x:v>
      </x:c>
      <x:c r="D30" s="8" t="n">
        <x:f>C30-C29</x:f>
        <x:v>-240</x:v>
      </x:c>
      <x:c r="E30" s="6" t="str">
        <x:v>Point-in-time stock; keep source sequence</x:v>
      </x:c>
    </x:row>
    <x:row r="31" ht="25" customHeight="1">
      <x:c r="A31" s="9" t="n">
        <x:v>25</x:v>
      </x:c>
      <x:c r="B31" s="10" t="n">
        <x:v>25</x:v>
      </x:c>
      <x:c r="C31" s="8" t="n">
        <x:v>6660</x:v>
      </x:c>
      <x:c r="D31" s="8" t="n">
        <x:f>C31-C30</x:f>
        <x:v>-180</x:v>
      </x:c>
      <x:c r="E31" s="6" t="str">
        <x:v>Point-in-time stock; keep source sequence</x:v>
      </x:c>
    </x:row>
    <x:row r="32" ht="25" customHeight="1">
      <x:c r="A32" s="9" t="n">
        <x:v>26</x:v>
      </x:c>
      <x:c r="B32" s="10" t="n">
        <x:v>26</x:v>
      </x:c>
      <x:c r="C32" s="8" t="n">
        <x:v>6360</x:v>
      </x:c>
      <x:c r="D32" s="8" t="n">
        <x:f>C32-C31</x:f>
        <x:v>-300</x:v>
      </x:c>
      <x:c r="E32" s="6" t="str">
        <x:v>Point-in-time stock; keep source sequence</x:v>
      </x:c>
    </x:row>
    <x:row r="33" ht="25" customHeight="1">
      <x:c r="A33" s="9" t="n">
        <x:v>27</x:v>
      </x:c>
      <x:c r="B33" s="10" t="n">
        <x:v>27</x:v>
      </x:c>
      <x:c r="C33" s="8" t="n">
        <x:v>6120</x:v>
      </x:c>
      <x:c r="D33" s="8" t="n">
        <x:f>C33-C32</x:f>
        <x:v>-240</x:v>
      </x:c>
      <x:c r="E33" s="6" t="str">
        <x:v>Point-in-time stock; keep source sequence</x:v>
      </x:c>
    </x:row>
    <x:row r="34" ht="25" customHeight="1">
      <x:c r="A34" s="9" t="n">
        <x:v>28</x:v>
      </x:c>
      <x:c r="B34" s="10" t="n">
        <x:v>28</x:v>
      </x:c>
      <x:c r="C34" s="8" t="n">
        <x:v>6000</x:v>
      </x:c>
      <x:c r="D34" s="8" t="n">
        <x:f>C34-C33</x:f>
        <x:v>-120</x:v>
      </x:c>
      <x:c r="E34" s="6" t="str">
        <x:v>Point-in-time stock; keep source sequence</x:v>
      </x:c>
    </x:row>
    <x:row r="35" ht="25" customHeight="1">
      <x:c r="A35" s="9" t="n">
        <x:v>29</x:v>
      </x:c>
      <x:c r="B35" s="10" t="n">
        <x:v>29</x:v>
      </x:c>
      <x:c r="C35" s="8" t="n">
        <x:v>5940</x:v>
      </x:c>
      <x:c r="D35" s="8" t="n">
        <x:f>C35-C34</x:f>
        <x:v>-60</x:v>
      </x:c>
      <x:c r="E35" s="6" t="str">
        <x:v>Point-in-time stock; keep source sequence</x:v>
      </x:c>
    </x:row>
    <x:row r="36" ht="25" customHeight="1">
      <x:c r="A36" s="9" t="n">
        <x:v>30</x:v>
      </x:c>
      <x:c r="B36" s="10" t="n">
        <x:v>30</x:v>
      </x:c>
      <x:c r="C36" s="8" t="n">
        <x:v>5820</x:v>
      </x:c>
      <x:c r="D36" s="8" t="n">
        <x:f>C36-C35</x:f>
        <x:v>-120</x:v>
      </x:c>
      <x:c r="E36" s="6" t="str">
        <x:v>Point-in-time stock; keep source sequence</x:v>
      </x:c>
    </x:row>
    <x:row r="37" ht="25" customHeight="1">
      <x:c r="A37" s="9" t="n">
        <x:v>31</x:v>
      </x:c>
      <x:c r="B37" s="10" t="n">
        <x:v>31</x:v>
      </x:c>
      <x:c r="C37" s="8" t="n">
        <x:v>5700</x:v>
      </x:c>
      <x:c r="D37" s="8" t="n">
        <x:f>C37-C36</x:f>
        <x:v>-120</x:v>
      </x:c>
      <x:c r="E37" s="6" t="str">
        <x:v>Point-in-time stock; keep source sequence</x:v>
      </x:c>
    </x:row>
    <x:row r="38" ht="25" customHeight="1">
      <x:c r="A38" s="9" t="n">
        <x:v>32</x:v>
      </x:c>
      <x:c r="B38" s="10" t="n">
        <x:v>32</x:v>
      </x:c>
      <x:c r="C38" s="8" t="n">
        <x:v>5280</x:v>
      </x:c>
      <x:c r="D38" s="8" t="n">
        <x:f>C38-C37</x:f>
        <x:v>-420</x:v>
      </x:c>
      <x:c r="E38" s="6" t="str">
        <x:v>Point-in-time stock; keep source sequence</x:v>
      </x:c>
    </x:row>
    <x:row r="39" ht="25" customHeight="1">
      <x:c r="A39" s="9" t="n">
        <x:v>33</x:v>
      </x:c>
      <x:c r="B39" s="10" t="n">
        <x:v>33</x:v>
      </x:c>
      <x:c r="C39" s="8" t="n">
        <x:v>5280</x:v>
      </x:c>
      <x:c r="D39" s="8" t="n">
        <x:f>C39-C38</x:f>
        <x:v>0</x:v>
      </x:c>
      <x:c r="E39" s="6" t="str">
        <x:v>Point-in-time stock; keep source sequence</x:v>
      </x:c>
    </x:row>
    <x:row r="40" ht="25" customHeight="1">
      <x:c r="A40" s="9" t="n">
        <x:v>34</x:v>
      </x:c>
      <x:c r="B40" s="10" t="n">
        <x:v>34</x:v>
      </x:c>
      <x:c r="C40" s="8" t="n">
        <x:v>5100</x:v>
      </x:c>
      <x:c r="D40" s="8" t="n">
        <x:f>C40-C39</x:f>
        <x:v>-180</x:v>
      </x:c>
      <x:c r="E40" s="6" t="str">
        <x:v>Point-in-time stock; keep source sequence</x:v>
      </x:c>
    </x:row>
    <x:row r="41" ht="25" customHeight="1">
      <x:c r="A41" s="9" t="n">
        <x:v>35</x:v>
      </x:c>
      <x:c r="B41" s="10" t="n">
        <x:v>35</x:v>
      </x:c>
      <x:c r="C41" s="8" t="n">
        <x:v>5040</x:v>
      </x:c>
      <x:c r="D41" s="8" t="n">
        <x:f>C41-C40</x:f>
        <x:v>-60</x:v>
      </x:c>
      <x:c r="E41" s="6" t="str">
        <x:v>Point-in-time stock; keep source sequence</x:v>
      </x:c>
    </x:row>
    <x:row r="42" ht="25" customHeight="1">
      <x:c r="A42" s="9" t="n">
        <x:v>36</x:v>
      </x:c>
      <x:c r="B42" s="10" t="n">
        <x:v>36</x:v>
      </x:c>
      <x:c r="C42" s="8" t="n">
        <x:v>4800</x:v>
      </x:c>
      <x:c r="D42" s="8" t="n">
        <x:f>C42-C41</x:f>
        <x:v>-240</x:v>
      </x:c>
      <x:c r="E42" s="6" t="str">
        <x:v>Point-in-time stock; keep source sequence</x:v>
      </x:c>
    </x:row>
    <x:row r="43" ht="25" customHeight="1">
      <x:c r="A43" s="9" t="n">
        <x:v>37</x:v>
      </x:c>
      <x:c r="B43" s="10" t="n">
        <x:v>37</x:v>
      </x:c>
      <x:c r="C43" s="8" t="n">
        <x:v>4620</x:v>
      </x:c>
      <x:c r="D43" s="8" t="n">
        <x:f>C43-C42</x:f>
        <x:v>-180</x:v>
      </x:c>
      <x:c r="E43" s="6" t="str">
        <x:v>Point-in-time stock; keep source sequence</x:v>
      </x:c>
    </x:row>
    <x:row r="44" ht="25" customHeight="1">
      <x:c r="A44" s="9" t="n">
        <x:v>38</x:v>
      </x:c>
      <x:c r="B44" s="10" t="n">
        <x:v>38</x:v>
      </x:c>
      <x:c r="C44" s="8" t="n">
        <x:v>4620</x:v>
      </x:c>
      <x:c r="D44" s="8" t="n">
        <x:f>C44-C43</x:f>
        <x:v>0</x:v>
      </x:c>
      <x:c r="E44" s="6" t="str">
        <x:v>Point-in-time stock; keep source sequence</x:v>
      </x:c>
    </x:row>
    <x:row r="45" ht="25" customHeight="1">
      <x:c r="A45" s="9" t="n">
        <x:v>39</x:v>
      </x:c>
      <x:c r="B45" s="10" t="n">
        <x:v>39</x:v>
      </x:c>
      <x:c r="C45" s="8" t="n">
        <x:v>4380</x:v>
      </x:c>
      <x:c r="D45" s="8" t="n">
        <x:f>C45-C44</x:f>
        <x:v>-240</x:v>
      </x:c>
      <x:c r="E45" s="6" t="str">
        <x:v>Point-in-time stock; keep source sequence</x:v>
      </x:c>
    </x:row>
    <x:row r="46" ht="25" customHeight="1">
      <x:c r="A46" s="9" t="n">
        <x:v>40</x:v>
      </x:c>
      <x:c r="B46" s="10" t="n">
        <x:v>40</x:v>
      </x:c>
      <x:c r="C46" s="8" t="n">
        <x:v>4080</x:v>
      </x:c>
      <x:c r="D46" s="8" t="n">
        <x:f>C46-C45</x:f>
        <x:v>-300</x:v>
      </x:c>
      <x:c r="E46" s="6" t="str">
        <x:v>Point-in-time stock; keep source sequence</x:v>
      </x:c>
    </x:row>
    <x:row r="47" ht="25" customHeight="1">
      <x:c r="A47" s="9" t="n">
        <x:v>41</x:v>
      </x:c>
      <x:c r="B47" s="10" t="n">
        <x:v>41</x:v>
      </x:c>
      <x:c r="C47" s="8" t="n">
        <x:v>4020</x:v>
      </x:c>
      <x:c r="D47" s="8" t="n">
        <x:f>C47-C46</x:f>
        <x:v>-60</x:v>
      </x:c>
      <x:c r="E47" s="6" t="str">
        <x:v>Point-in-time stock; keep source sequence</x:v>
      </x:c>
    </x:row>
    <x:row r="48" ht="25" customHeight="1">
      <x:c r="A48" s="9" t="n">
        <x:v>42</x:v>
      </x:c>
      <x:c r="B48" s="10" t="n">
        <x:v>42</x:v>
      </x:c>
      <x:c r="C48" s="8" t="n">
        <x:v>3660</x:v>
      </x:c>
      <x:c r="D48" s="8" t="n">
        <x:f>C48-C47</x:f>
        <x:v>-360</x:v>
      </x:c>
      <x:c r="E48" s="6" t="str">
        <x:v>Point-in-time stock; keep source sequence</x:v>
      </x:c>
    </x:row>
    <x:row r="49" ht="25" customHeight="1">
      <x:c r="A49" s="9" t="n">
        <x:v>43</x:v>
      </x:c>
      <x:c r="B49" s="10" t="n">
        <x:v>43</x:v>
      </x:c>
      <x:c r="C49" s="8" t="n">
        <x:v>3360</x:v>
      </x:c>
      <x:c r="D49" s="8" t="n">
        <x:f>C49-C48</x:f>
        <x:v>-300</x:v>
      </x:c>
      <x:c r="E49" s="6" t="str">
        <x:v>Point-in-time stock; keep source sequence</x:v>
      </x:c>
    </x:row>
    <x:row r="50" ht="25" customHeight="1">
      <x:c r="A50" s="9" t="n">
        <x:v>44</x:v>
      </x:c>
      <x:c r="B50" s="10" t="n">
        <x:v>43.132</x:v>
      </x:c>
      <x:c r="C50" s="8" t="n">
        <x:v>3240</x:v>
      </x:c>
      <x:c r="D50" s="8" t="n">
        <x:f>C50-C49</x:f>
        <x:v>-120</x:v>
      </x:c>
      <x:c r="E50" s="6" t="str">
        <x:v>Stock immediately before the same-time increase</x:v>
      </x:c>
    </x:row>
    <x:row r="51" ht="25" customHeight="1">
      <x:c r="A51" s="9" t="n">
        <x:v>45</x:v>
      </x:c>
      <x:c r="B51" s="10" t="n">
        <x:v>43.132</x:v>
      </x:c>
      <x:c r="C51" s="8" t="n">
        <x:v>10440</x:v>
      </x:c>
      <x:c r="D51" s="8" t="n">
        <x:f>C51-C50</x:f>
        <x:v>7200</x:v>
      </x:c>
      <x:c r="E51" s="6" t="str">
        <x:v>Stock immediately after the same-time increase</x:v>
      </x:c>
    </x:row>
    <x:row r="52" ht="25" customHeight="1">
      <x:c r="A52" s="9" t="n">
        <x:v>46</x:v>
      </x:c>
      <x:c r="B52" s="10" t="n">
        <x:v>44</x:v>
      </x:c>
      <x:c r="C52" s="8" t="n">
        <x:v>10260</x:v>
      </x:c>
      <x:c r="D52" s="8" t="n">
        <x:f>C52-C51</x:f>
        <x:v>-180</x:v>
      </x:c>
      <x:c r="E52" s="6" t="str">
        <x:v>Point-in-time stock; keep source sequence</x:v>
      </x:c>
    </x:row>
    <x:row r="53" ht="25" customHeight="1">
      <x:c r="A53" s="9" t="n">
        <x:v>47</x:v>
      </x:c>
      <x:c r="B53" s="10" t="n">
        <x:v>45</x:v>
      </x:c>
      <x:c r="C53" s="8" t="n">
        <x:v>10140</x:v>
      </x:c>
      <x:c r="D53" s="8" t="n">
        <x:f>C53-C52</x:f>
        <x:v>-120</x:v>
      </x:c>
      <x:c r="E53" s="6" t="str">
        <x:v>Point-in-time stock; keep source sequence</x:v>
      </x:c>
    </x:row>
    <x:row r="54" ht="25" customHeight="1">
      <x:c r="A54" s="9" t="n">
        <x:v>48</x:v>
      </x:c>
      <x:c r="B54" s="10" t="n">
        <x:v>46</x:v>
      </x:c>
      <x:c r="C54" s="8" t="n">
        <x:v>10020</x:v>
      </x:c>
      <x:c r="D54" s="8" t="n">
        <x:f>C54-C53</x:f>
        <x:v>-120</x:v>
      </x:c>
      <x:c r="E54" s="6" t="str">
        <x:v>Point-in-time stock; keep source sequence</x:v>
      </x:c>
    </x:row>
    <x:row r="55" ht="25" customHeight="1">
      <x:c r="A55" s="9" t="n">
        <x:v>49</x:v>
      </x:c>
      <x:c r="B55" s="10" t="n">
        <x:v>47</x:v>
      </x:c>
      <x:c r="C55" s="8" t="n">
        <x:v>9720</x:v>
      </x:c>
      <x:c r="D55" s="8" t="n">
        <x:f>C55-C54</x:f>
        <x:v>-300</x:v>
      </x:c>
      <x:c r="E55" s="6" t="str">
        <x:v>Point-in-time stock; keep source sequence</x:v>
      </x:c>
    </x:row>
    <x:row r="56" ht="25" customHeight="1">
      <x:c r="A56" s="9" t="n">
        <x:v>50</x:v>
      </x:c>
      <x:c r="B56" s="10" t="n">
        <x:v>48</x:v>
      </x:c>
      <x:c r="C56" s="8" t="n">
        <x:v>9660</x:v>
      </x:c>
      <x:c r="D56" s="8" t="n">
        <x:f>C56-C55</x:f>
        <x:v>-60</x:v>
      </x:c>
      <x:c r="E56" s="6" t="str">
        <x:v>Point-in-time stock; keep source sequence</x:v>
      </x:c>
    </x:row>
    <x:row r="57" ht="25" customHeight="1">
      <x:c r="A57" s="9" t="n">
        <x:v>51</x:v>
      </x:c>
      <x:c r="B57" s="10" t="n">
        <x:v>49</x:v>
      </x:c>
      <x:c r="C57" s="8" t="n">
        <x:v>9480</x:v>
      </x:c>
      <x:c r="D57" s="8" t="n">
        <x:f>C57-C56</x:f>
        <x:v>-180</x:v>
      </x:c>
      <x:c r="E57" s="6" t="str">
        <x:v>Point-in-time stock; keep source sequence</x:v>
      </x:c>
    </x:row>
    <x:row r="58" ht="25" customHeight="1">
      <x:c r="A58" s="9" t="n">
        <x:v>52</x:v>
      </x:c>
      <x:c r="B58" s="10" t="n">
        <x:v>50</x:v>
      </x:c>
      <x:c r="C58" s="8" t="n">
        <x:v>9360</x:v>
      </x:c>
      <x:c r="D58" s="8" t="n">
        <x:f>C58-C57</x:f>
        <x:v>-120</x:v>
      </x:c>
      <x:c r="E58" s="6" t="str">
        <x:v>Point-in-time stock; keep source sequence</x:v>
      </x:c>
    </x:row>
    <x:row r="60">
      <x:c r="A60" t="str">
        <x:v>Day 43.132 occurs twice in the source: 3,240 then 10,440 kits. Keep both records.</x:v>
      </x:c>
    </x:row>
    <x:row r="61">
      <x:c r="A61" t="str">
        <x:v>The +7,200 change matches the displayed order quantity; this is an inference, not a transaction log.</x:v>
      </x:c>
    </x:row>
    <x:row r="62">
      <x:c r="A62" t="str">
        <x:v>Extraction: Material &gt; Inventory Plot &gt; Plot info &gt; table. Original day precision is preserved.</x:v>
      </x:c>
    </x:row>
  </x:sheetData>
  <x:pageMargins left="0.7" right="0.7" top="0.75" bottom="0.75" header="0.3" footer="0.3"/>
</x:worksheet>
</file>